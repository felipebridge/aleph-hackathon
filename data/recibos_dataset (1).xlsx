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obantes" sheetId="1" r:id="rId5"/>
  </sheets>
  <definedNames/>
  <calcPr/>
</workbook>
</file>

<file path=xl/sharedStrings.xml><?xml version="1.0" encoding="utf-8"?>
<sst xmlns="http://schemas.openxmlformats.org/spreadsheetml/2006/main" count="288" uniqueCount="213">
  <si>
    <t>Tipo de Comprobante</t>
  </si>
  <si>
    <t>Rubro</t>
  </si>
  <si>
    <t>Formato</t>
  </si>
  <si>
    <t>Fecha</t>
  </si>
  <si>
    <t>Hora</t>
  </si>
  <si>
    <t>Precio Final (ARS)</t>
  </si>
  <si>
    <t>Cliente / Pasajero / Razon Social</t>
  </si>
  <si>
    <t>Total (ARS)</t>
  </si>
  <si>
    <t>Tarifa de viaje (ARS)</t>
  </si>
  <si>
    <t>Booking Fee (ARS)</t>
  </si>
  <si>
    <t>Promocion (ARS)</t>
  </si>
  <si>
    <t>Credits/Puntos aplicados (ARS)</t>
  </si>
  <si>
    <t>Credits/Puntos ganados (ARS)</t>
  </si>
  <si>
    <t>Metodo de pago</t>
  </si>
  <si>
    <t>Tipo de viaje/servicio</t>
  </si>
  <si>
    <t>Distancia (km)</t>
  </si>
  <si>
    <t>Duracion (min)</t>
  </si>
  <si>
    <t>Hora de inicio</t>
  </si>
  <si>
    <t>Direccion de origen</t>
  </si>
  <si>
    <t>Hora de fin</t>
  </si>
  <si>
    <t>Direccion de destino</t>
  </si>
  <si>
    <t>Conductor / Repartidor</t>
  </si>
  <si>
    <t>Calificacion</t>
  </si>
  <si>
    <t>CUIT</t>
  </si>
  <si>
    <t>Domicilio Fiscal</t>
  </si>
  <si>
    <t>Mail de Contacto</t>
  </si>
  <si>
    <t>Punto de Venta</t>
  </si>
  <si>
    <t>Comp. Nro</t>
  </si>
  <si>
    <t>Periodo Desde</t>
  </si>
  <si>
    <t>Periodo Hasta</t>
  </si>
  <si>
    <t>Fecha Vto. Pago</t>
  </si>
  <si>
    <t>Producto / Servicio</t>
  </si>
  <si>
    <t>Cantidad</t>
  </si>
  <si>
    <t>Precio Unit. (ARS)</t>
  </si>
  <si>
    <t>Subtotal (ARS)</t>
  </si>
  <si>
    <t>Otros Tributos (ARS)</t>
  </si>
  <si>
    <t>IVA Contenido (ARS)</t>
  </si>
  <si>
    <t>CAE</t>
  </si>
  <si>
    <t>Fecha Vto. CAE</t>
  </si>
  <si>
    <t>Archivo</t>
  </si>
  <si>
    <t>Uber</t>
  </si>
  <si>
    <t>Transporte</t>
  </si>
  <si>
    <t>PDF</t>
  </si>
  <si>
    <t>2026-06-15</t>
  </si>
  <si>
    <t>21:47</t>
  </si>
  <si>
    <t>Camila</t>
  </si>
  <si>
    <t>Mastercard **** 7734</t>
  </si>
  <si>
    <t>Comfort</t>
  </si>
  <si>
    <t>21:35</t>
  </si>
  <si>
    <t>Calle Demostracion 77, S2000ABC, Rosario</t>
  </si>
  <si>
    <t>Av. Ilustrativa 900, S2000XYZ, Rosario</t>
  </si>
  <si>
    <t>ANDREA PAOLA</t>
  </si>
  <si>
    <t>Uber_receipt_sample_4.pdf</t>
  </si>
  <si>
    <t>ExpressCourier Envios</t>
  </si>
  <si>
    <t>Correo / Envios</t>
  </si>
  <si>
    <t>JPG</t>
  </si>
  <si>
    <t>2026-07-23</t>
  </si>
  <si>
    <t>EXPRESSCOURIER ENVIOS S.A.</t>
  </si>
  <si>
    <t>30-44444445-6</t>
  </si>
  <si>
    <t>Zona Logistica 500, Tigre, Buenos Aires</t>
  </si>
  <si>
    <t>atencion@expresscourier-ejemplo.com</t>
  </si>
  <si>
    <t>0009</t>
  </si>
  <si>
    <t>18345990</t>
  </si>
  <si>
    <t>Envio nacional - Guia AR99001122, 2.30 kg (ejemplo)</t>
  </si>
  <si>
    <t>99000033445566</t>
  </si>
  <si>
    <t>2026-07-30</t>
  </si>
  <si>
    <t>ExpressCourier_envio_1.jpg</t>
  </si>
  <si>
    <t>PedidosYa</t>
  </si>
  <si>
    <t>Delivery de comida</t>
  </si>
  <si>
    <t>2026-07-22</t>
  </si>
  <si>
    <t>MUESTRA PLATAFORMA YA S.A.</t>
  </si>
  <si>
    <t>30-66666664-1</t>
  </si>
  <si>
    <t>Av. Simulada 2100, piso 10, CABA</t>
  </si>
  <si>
    <t>contacto@muestraplataformaya.com</t>
  </si>
  <si>
    <t>0002</t>
  </si>
  <si>
    <t>41567890</t>
  </si>
  <si>
    <t>2026-08-22</t>
  </si>
  <si>
    <t>Tarifa de servicio (ejemplo)</t>
  </si>
  <si>
    <t>99000011223344</t>
  </si>
  <si>
    <t>2026-08-01</t>
  </si>
  <si>
    <t>PeYA_muestra_4.pdf</t>
  </si>
  <si>
    <t>2026-07-08</t>
  </si>
  <si>
    <t>18:40</t>
  </si>
  <si>
    <t>Nicolas</t>
  </si>
  <si>
    <t>Visa **** 2290</t>
  </si>
  <si>
    <t>UberX Share</t>
  </si>
  <si>
    <t>18:31</t>
  </si>
  <si>
    <t>Av. Terminal 300, B1640ABC, Martinez</t>
  </si>
  <si>
    <t>Calle Estacion 55, B1640XYZ, Martinez</t>
  </si>
  <si>
    <t>PATRICIA NOEMI</t>
  </si>
  <si>
    <t>Uber_receipt_6.jpg</t>
  </si>
  <si>
    <t>PetroSur Combustibles</t>
  </si>
  <si>
    <t>Combustible</t>
  </si>
  <si>
    <t>2026-07-20</t>
  </si>
  <si>
    <t>PETROSUR COMBUSTIBLES S.A.</t>
  </si>
  <si>
    <t>30-55555556-2</t>
  </si>
  <si>
    <t>Ruta Provincial 8 Km 45, Pilar, Buenos Aires</t>
  </si>
  <si>
    <t>facturacion@petrosur-ejemplo.com</t>
  </si>
  <si>
    <t>0015</t>
  </si>
  <si>
    <t>30456712</t>
  </si>
  <si>
    <t>Nafta Super - 35.40 litros (ejemplo)</t>
  </si>
  <si>
    <t>99000055667788</t>
  </si>
  <si>
    <t>2026-07-27</t>
  </si>
  <si>
    <t>PetroSur_combustible_1.pdf</t>
  </si>
  <si>
    <t>Rappi</t>
  </si>
  <si>
    <t>2026-07-14</t>
  </si>
  <si>
    <t>13:20</t>
  </si>
  <si>
    <t>Julieta</t>
  </si>
  <si>
    <t>Mercado Pago</t>
  </si>
  <si>
    <t>Entrega estandar</t>
  </si>
  <si>
    <t>12:58</t>
  </si>
  <si>
    <t>Local Comercial 12, Galeria Central, Rosario</t>
  </si>
  <si>
    <t>Calle Entrega 340, S2000ABC, Rosario</t>
  </si>
  <si>
    <t>FACUNDO EZEQUIEL</t>
  </si>
  <si>
    <t>Rappi_recibo_1.jpg</t>
  </si>
  <si>
    <t>2026-07-03</t>
  </si>
  <si>
    <t>MUESTRA DELIVERY DEMO S.A.</t>
  </si>
  <si>
    <t>30-99999991-0</t>
  </si>
  <si>
    <t>Av. Ejemplo 1234, piso 5, CABA</t>
  </si>
  <si>
    <t>contacto@muestrademo-ejemplo.com</t>
  </si>
  <si>
    <t>0011</t>
  </si>
  <si>
    <t>10023456</t>
  </si>
  <si>
    <t>2026-07-31</t>
  </si>
  <si>
    <t>99000011122233</t>
  </si>
  <si>
    <t>2026-07-10</t>
  </si>
  <si>
    <t>PeYA_muestra_1.pdf</t>
  </si>
  <si>
    <t>MUESTRA APP DE COMIDAS S.A.</t>
  </si>
  <si>
    <t>30-88888882-5</t>
  </si>
  <si>
    <t>Calle Modelo 88, piso 2, CABA</t>
  </si>
  <si>
    <t>soporte@muestraappejemplo.com</t>
  </si>
  <si>
    <t>0004</t>
  </si>
  <si>
    <t>55098123</t>
  </si>
  <si>
    <t>2026-08-10</t>
  </si>
  <si>
    <t>99000044455566</t>
  </si>
  <si>
    <t>PeYA_muestra_2.pdf</t>
  </si>
  <si>
    <t>Cabify</t>
  </si>
  <si>
    <t>2026-07-18</t>
  </si>
  <si>
    <t>09:05</t>
  </si>
  <si>
    <t>Bruno</t>
  </si>
  <si>
    <t>Mastercard **** 5510</t>
  </si>
  <si>
    <t>Cabify Lite</t>
  </si>
  <si>
    <t>08:47</t>
  </si>
  <si>
    <t>Av. Empresarial 900, X5000ABC, Cordoba</t>
  </si>
  <si>
    <t>Parque Industrial 45, X5000XYZ, Cordoba</t>
  </si>
  <si>
    <t>GABRIEL ESTEBAN</t>
  </si>
  <si>
    <t>Cabify_recibo_1.pdf</t>
  </si>
  <si>
    <t>2026-07-02</t>
  </si>
  <si>
    <t>08:14</t>
  </si>
  <si>
    <t>Martina</t>
  </si>
  <si>
    <t>UberX</t>
  </si>
  <si>
    <t>08:03</t>
  </si>
  <si>
    <t>Av. Comercial 1450, C1414ABC, CABA</t>
  </si>
  <si>
    <t>Calle Oficinas 220, C1414XYZ, CABA</t>
  </si>
  <si>
    <t>JAVIER OMAR</t>
  </si>
  <si>
    <t>Uber_receipt_5.pdf</t>
  </si>
  <si>
    <t>2026-06-03</t>
  </si>
  <si>
    <t>19:12</t>
  </si>
  <si>
    <t>Sofia</t>
  </si>
  <si>
    <t>Visa **** 4821</t>
  </si>
  <si>
    <t>19:00</t>
  </si>
  <si>
    <t>Av. Modelo 880, B1900ABC, La Plata</t>
  </si>
  <si>
    <t>19:15</t>
  </si>
  <si>
    <t>Calle Muestra 220, B1900XYZ, La Plata</t>
  </si>
  <si>
    <t>MARIANA LUZ</t>
  </si>
  <si>
    <t>Uber_receipt_sample_2.pdf</t>
  </si>
  <si>
    <t>2026-05-28</t>
  </si>
  <si>
    <t>20:46</t>
  </si>
  <si>
    <t>Lucas</t>
  </si>
  <si>
    <t>Wait &amp; Save</t>
  </si>
  <si>
    <t>21:00</t>
  </si>
  <si>
    <t>Av. Ficticia 1200, C1000ABC, Buenos Aires</t>
  </si>
  <si>
    <t>21:09</t>
  </si>
  <si>
    <t>Calle Inventada 450, C1000XYZ, CABA</t>
  </si>
  <si>
    <t>ROBERTO ANDRES</t>
  </si>
  <si>
    <t>Uber_receipt_anonymized.pdf</t>
  </si>
  <si>
    <t>LuzSur Distribuidora</t>
  </si>
  <si>
    <t>Servicios / Electricidad</t>
  </si>
  <si>
    <t>2026-07-25</t>
  </si>
  <si>
    <t>LUZSUR DISTRIBUIDORA S.A.</t>
  </si>
  <si>
    <t>30-33333334-9</t>
  </si>
  <si>
    <t>Av. Energia 3000, San Isidro, Buenos Aires</t>
  </si>
  <si>
    <t>clientes@luzsur-ejemplo.com</t>
  </si>
  <si>
    <t>0001</t>
  </si>
  <si>
    <t>70012345</t>
  </si>
  <si>
    <t>2026-06-25</t>
  </si>
  <si>
    <t>Servicio electrico - consumo 210 kWh (ejemplo)</t>
  </si>
  <si>
    <t>99000022334455</t>
  </si>
  <si>
    <t>2026-08-05</t>
  </si>
  <si>
    <t>LuzSur_electricidad_1.pdf</t>
  </si>
  <si>
    <t>2026-07-15</t>
  </si>
  <si>
    <t>MUESTRA DELIVERY GROUP S.R.L.</t>
  </si>
  <si>
    <t>30-77777773-8</t>
  </si>
  <si>
    <t>Bv. Prueba 500, C1400XYZ, CABA</t>
  </si>
  <si>
    <t>info@muestradeliverygroup.com</t>
  </si>
  <si>
    <t>0027</t>
  </si>
  <si>
    <t>20984411</t>
  </si>
  <si>
    <t>2026-08-15</t>
  </si>
  <si>
    <t>99000077788899</t>
  </si>
  <si>
    <t>PeYA_muestra_3.pdf</t>
  </si>
  <si>
    <t>2026-06-10</t>
  </si>
  <si>
    <t>11:35</t>
  </si>
  <si>
    <t>Tomas</t>
  </si>
  <si>
    <t>11:29</t>
  </si>
  <si>
    <t>Bv. Ejemplo 340, X5000ABC, Cordoba</t>
  </si>
  <si>
    <t>Pasaje Prueba 15, X5000XYZ, Cordoba</t>
  </si>
  <si>
    <t>DIEGO FERNANDO</t>
  </si>
  <si>
    <t>Uber_receipt_sample_3.pdf</t>
  </si>
  <si>
    <t>2026-07-12</t>
  </si>
  <si>
    <t>55098450</t>
  </si>
  <si>
    <t>2026-08-12</t>
  </si>
  <si>
    <t>Tarifa de servicio - pedido de comida (ejemplo)</t>
  </si>
  <si>
    <t>99000099887766</t>
  </si>
  <si>
    <t>PeYA_muestra_5.pdf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</si>
</sst>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4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7.0"/>
    <col customWidth="1" min="3" max="3" width="10.0"/>
    <col customWidth="1" min="4" max="4" width="13.0"/>
    <col customWidth="1" min="5" max="5" width="10.0"/>
    <col customWidth="1" min="6" max="6" width="16.0"/>
    <col customWidth="1" min="7" max="7" width="36.0"/>
    <col customWidth="1" min="8" max="8" width="14.0"/>
    <col customWidth="1" min="9" max="9" width="24.0"/>
    <col customWidth="1" min="10" max="10" width="20.0"/>
    <col customWidth="1" min="11" max="11" width="18.0"/>
    <col customWidth="1" min="12" max="12" width="33.0"/>
    <col customWidth="1" min="13" max="13" width="31.0"/>
    <col customWidth="1" min="14" max="14" width="23.0"/>
    <col customWidth="1" min="15" max="15" width="25.0"/>
    <col customWidth="1" min="16" max="16" width="17.0"/>
    <col customWidth="1" min="17" max="18" width="8.71"/>
    <col customWidth="1" min="19" max="19" width="38.0"/>
    <col customWidth="1" min="20" max="20" width="14.0"/>
    <col customWidth="1" min="21" max="21" width="38.0"/>
    <col customWidth="1" min="22" max="22" width="25.0"/>
    <col customWidth="1" min="23" max="23" width="15.0"/>
    <col customWidth="1" min="24" max="24" width="16.0"/>
    <col customWidth="1" min="25" max="25" width="38.0"/>
    <col customWidth="1" min="26" max="26" width="8.71"/>
    <col customWidth="1" min="27" max="27" width="17.0"/>
    <col customWidth="1" min="28" max="28" width="12.0"/>
    <col customWidth="1" min="29" max="29" width="16.0"/>
    <col customWidth="1" min="30" max="30" width="8.71"/>
    <col customWidth="1" min="31" max="31" width="18.0"/>
    <col customWidth="1" min="32" max="32" width="38.0"/>
    <col customWidth="1" min="33" max="33" width="12.29"/>
    <col customWidth="1" min="34" max="34" width="21.0"/>
    <col customWidth="1" min="35" max="35" width="17.0"/>
    <col customWidth="1" min="36" max="36" width="23.0"/>
    <col customWidth="1" min="37" max="37" width="22.0"/>
    <col customWidth="1" min="38" max="38" width="16.0"/>
    <col customWidth="1" min="39" max="39" width="17.0"/>
    <col customWidth="1" min="40" max="40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2" t="s">
        <v>41</v>
      </c>
      <c r="C2" s="3" t="s">
        <v>42</v>
      </c>
      <c r="D2" s="3" t="s">
        <v>43</v>
      </c>
      <c r="E2" s="3" t="s">
        <v>44</v>
      </c>
      <c r="F2" s="4">
        <f t="shared" ref="F2:F17" si="1">H2</f>
        <v>3340</v>
      </c>
      <c r="G2" s="3" t="s">
        <v>45</v>
      </c>
      <c r="H2" s="4">
        <v>3340.0</v>
      </c>
      <c r="I2" s="4">
        <v>4100.0</v>
      </c>
      <c r="J2" s="4">
        <v>310.0</v>
      </c>
      <c r="K2" s="4">
        <v>-700.0</v>
      </c>
      <c r="L2" s="4">
        <v>-370.0</v>
      </c>
      <c r="M2" s="4">
        <v>334.0</v>
      </c>
      <c r="N2" s="3" t="s">
        <v>46</v>
      </c>
      <c r="O2" s="3" t="s">
        <v>47</v>
      </c>
      <c r="P2" s="4">
        <v>5.2</v>
      </c>
      <c r="Q2" s="3">
        <v>12.0</v>
      </c>
      <c r="R2" s="3" t="s">
        <v>48</v>
      </c>
      <c r="S2" s="3" t="s">
        <v>49</v>
      </c>
      <c r="T2" s="3" t="s">
        <v>44</v>
      </c>
      <c r="U2" s="3" t="s">
        <v>50</v>
      </c>
      <c r="V2" s="3" t="s">
        <v>51</v>
      </c>
      <c r="W2" s="4">
        <v>4.92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" t="s">
        <v>52</v>
      </c>
    </row>
    <row r="3">
      <c r="A3" s="2" t="s">
        <v>53</v>
      </c>
      <c r="B3" s="2" t="s">
        <v>54</v>
      </c>
      <c r="C3" s="3" t="s">
        <v>55</v>
      </c>
      <c r="D3" s="3" t="s">
        <v>56</v>
      </c>
      <c r="E3" s="3"/>
      <c r="F3" s="4">
        <f t="shared" si="1"/>
        <v>1850</v>
      </c>
      <c r="G3" s="3" t="s">
        <v>57</v>
      </c>
      <c r="H3" s="4">
        <v>1850.0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58</v>
      </c>
      <c r="Y3" s="3" t="s">
        <v>59</v>
      </c>
      <c r="Z3" s="3" t="s">
        <v>60</v>
      </c>
      <c r="AA3" s="3" t="s">
        <v>61</v>
      </c>
      <c r="AB3" s="3" t="s">
        <v>62</v>
      </c>
      <c r="AC3" s="3" t="s">
        <v>56</v>
      </c>
      <c r="AD3" s="3" t="s">
        <v>56</v>
      </c>
      <c r="AE3" s="3" t="s">
        <v>56</v>
      </c>
      <c r="AF3" s="3" t="s">
        <v>63</v>
      </c>
      <c r="AG3" s="4">
        <v>1.0</v>
      </c>
      <c r="AH3" s="4">
        <v>1850.0</v>
      </c>
      <c r="AI3" s="4">
        <v>1528.93</v>
      </c>
      <c r="AJ3" s="4">
        <v>0.0</v>
      </c>
      <c r="AK3" s="4">
        <v>321.07</v>
      </c>
      <c r="AL3" s="3" t="s">
        <v>64</v>
      </c>
      <c r="AM3" s="3" t="s">
        <v>65</v>
      </c>
      <c r="AN3" s="2" t="s">
        <v>66</v>
      </c>
    </row>
    <row r="4">
      <c r="A4" s="2" t="s">
        <v>67</v>
      </c>
      <c r="B4" s="2" t="s">
        <v>68</v>
      </c>
      <c r="C4" s="3" t="s">
        <v>42</v>
      </c>
      <c r="D4" s="3" t="s">
        <v>69</v>
      </c>
      <c r="E4" s="3"/>
      <c r="F4" s="4">
        <f t="shared" si="1"/>
        <v>520</v>
      </c>
      <c r="G4" s="3" t="s">
        <v>70</v>
      </c>
      <c r="H4" s="4">
        <v>520.0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71</v>
      </c>
      <c r="Y4" s="3" t="s">
        <v>72</v>
      </c>
      <c r="Z4" s="3" t="s">
        <v>73</v>
      </c>
      <c r="AA4" s="3" t="s">
        <v>74</v>
      </c>
      <c r="AB4" s="3" t="s">
        <v>75</v>
      </c>
      <c r="AC4" s="3" t="s">
        <v>69</v>
      </c>
      <c r="AD4" s="3" t="s">
        <v>69</v>
      </c>
      <c r="AE4" s="3" t="s">
        <v>76</v>
      </c>
      <c r="AF4" s="3" t="s">
        <v>77</v>
      </c>
      <c r="AG4" s="4">
        <v>1.0</v>
      </c>
      <c r="AH4" s="4">
        <v>520.0</v>
      </c>
      <c r="AI4" s="4">
        <v>429.75</v>
      </c>
      <c r="AJ4" s="4">
        <v>0.0</v>
      </c>
      <c r="AK4" s="4">
        <v>90.25</v>
      </c>
      <c r="AL4" s="3" t="s">
        <v>78</v>
      </c>
      <c r="AM4" s="3" t="s">
        <v>79</v>
      </c>
      <c r="AN4" s="2" t="s">
        <v>80</v>
      </c>
    </row>
    <row r="5">
      <c r="A5" s="5" t="s">
        <v>40</v>
      </c>
      <c r="B5" s="5" t="s">
        <v>41</v>
      </c>
      <c r="C5" s="6" t="s">
        <v>55</v>
      </c>
      <c r="D5" s="6" t="s">
        <v>81</v>
      </c>
      <c r="E5" s="6" t="s">
        <v>82</v>
      </c>
      <c r="F5" s="7">
        <f t="shared" si="1"/>
        <v>2950</v>
      </c>
      <c r="G5" s="6" t="s">
        <v>83</v>
      </c>
      <c r="H5" s="7">
        <v>2950.0</v>
      </c>
      <c r="I5" s="7">
        <v>3050.0</v>
      </c>
      <c r="J5" s="7">
        <v>290.0</v>
      </c>
      <c r="K5" s="7">
        <v>-520.0</v>
      </c>
      <c r="L5" s="7">
        <v>-370.0</v>
      </c>
      <c r="M5" s="7">
        <v>245.0</v>
      </c>
      <c r="N5" s="6" t="s">
        <v>84</v>
      </c>
      <c r="O5" s="6" t="s">
        <v>85</v>
      </c>
      <c r="P5" s="7">
        <v>3.1</v>
      </c>
      <c r="Q5" s="6">
        <v>9.0</v>
      </c>
      <c r="R5" s="6" t="s">
        <v>86</v>
      </c>
      <c r="S5" s="6" t="s">
        <v>87</v>
      </c>
      <c r="T5" s="6" t="s">
        <v>82</v>
      </c>
      <c r="U5" s="6" t="s">
        <v>88</v>
      </c>
      <c r="V5" s="6" t="s">
        <v>89</v>
      </c>
      <c r="W5" s="7">
        <v>4.95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 t="s">
        <v>90</v>
      </c>
    </row>
    <row r="6">
      <c r="A6" s="2" t="s">
        <v>91</v>
      </c>
      <c r="B6" s="2" t="s">
        <v>92</v>
      </c>
      <c r="C6" s="3" t="s">
        <v>42</v>
      </c>
      <c r="D6" s="3" t="s">
        <v>93</v>
      </c>
      <c r="E6" s="3"/>
      <c r="F6" s="4">
        <f t="shared" si="1"/>
        <v>4630</v>
      </c>
      <c r="G6" s="3" t="s">
        <v>94</v>
      </c>
      <c r="H6" s="4">
        <v>4630.0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95</v>
      </c>
      <c r="Y6" s="3" t="s">
        <v>96</v>
      </c>
      <c r="Z6" s="3" t="s">
        <v>97</v>
      </c>
      <c r="AA6" s="3" t="s">
        <v>98</v>
      </c>
      <c r="AB6" s="3" t="s">
        <v>99</v>
      </c>
      <c r="AC6" s="3" t="s">
        <v>93</v>
      </c>
      <c r="AD6" s="3" t="s">
        <v>93</v>
      </c>
      <c r="AE6" s="3" t="s">
        <v>93</v>
      </c>
      <c r="AF6" s="3" t="s">
        <v>100</v>
      </c>
      <c r="AG6" s="4">
        <v>35.4</v>
      </c>
      <c r="AH6" s="4">
        <v>130.79</v>
      </c>
      <c r="AI6" s="4">
        <v>3826.45</v>
      </c>
      <c r="AJ6" s="4">
        <v>0.0</v>
      </c>
      <c r="AK6" s="4">
        <v>803.55</v>
      </c>
      <c r="AL6" s="3" t="s">
        <v>101</v>
      </c>
      <c r="AM6" s="3" t="s">
        <v>102</v>
      </c>
      <c r="AN6" s="2" t="s">
        <v>103</v>
      </c>
    </row>
    <row r="7">
      <c r="A7" s="2" t="s">
        <v>104</v>
      </c>
      <c r="B7" s="2" t="s">
        <v>68</v>
      </c>
      <c r="C7" s="3" t="s">
        <v>55</v>
      </c>
      <c r="D7" s="3" t="s">
        <v>105</v>
      </c>
      <c r="E7" s="3" t="s">
        <v>106</v>
      </c>
      <c r="F7" s="4">
        <f t="shared" si="1"/>
        <v>2940</v>
      </c>
      <c r="G7" s="3" t="s">
        <v>107</v>
      </c>
      <c r="H7" s="4">
        <v>2940.0</v>
      </c>
      <c r="I7" s="4">
        <v>3300.0</v>
      </c>
      <c r="J7" s="4">
        <v>250.0</v>
      </c>
      <c r="K7" s="4">
        <v>-610.0</v>
      </c>
      <c r="L7" s="4">
        <v>0.0</v>
      </c>
      <c r="M7" s="4">
        <v>0.0</v>
      </c>
      <c r="N7" s="3" t="s">
        <v>108</v>
      </c>
      <c r="O7" s="3" t="s">
        <v>109</v>
      </c>
      <c r="P7" s="4">
        <v>2.9</v>
      </c>
      <c r="Q7" s="3">
        <v>22.0</v>
      </c>
      <c r="R7" s="3" t="s">
        <v>110</v>
      </c>
      <c r="S7" s="3" t="s">
        <v>111</v>
      </c>
      <c r="T7" s="3" t="s">
        <v>106</v>
      </c>
      <c r="U7" s="3" t="s">
        <v>112</v>
      </c>
      <c r="V7" s="3" t="s">
        <v>113</v>
      </c>
      <c r="W7" s="4">
        <v>4.8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 t="s">
        <v>114</v>
      </c>
    </row>
    <row r="8">
      <c r="A8" s="2" t="s">
        <v>67</v>
      </c>
      <c r="B8" s="2" t="s">
        <v>68</v>
      </c>
      <c r="C8" s="3" t="s">
        <v>42</v>
      </c>
      <c r="D8" s="3" t="s">
        <v>115</v>
      </c>
      <c r="E8" s="3"/>
      <c r="F8" s="4">
        <f t="shared" si="1"/>
        <v>350</v>
      </c>
      <c r="G8" s="3" t="s">
        <v>116</v>
      </c>
      <c r="H8" s="4">
        <v>350.0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117</v>
      </c>
      <c r="Y8" s="3" t="s">
        <v>118</v>
      </c>
      <c r="Z8" s="3" t="s">
        <v>119</v>
      </c>
      <c r="AA8" s="3" t="s">
        <v>120</v>
      </c>
      <c r="AB8" s="3" t="s">
        <v>121</v>
      </c>
      <c r="AC8" s="3" t="s">
        <v>115</v>
      </c>
      <c r="AD8" s="3" t="s">
        <v>115</v>
      </c>
      <c r="AE8" s="3" t="s">
        <v>122</v>
      </c>
      <c r="AF8" s="3" t="s">
        <v>77</v>
      </c>
      <c r="AG8" s="4">
        <v>1.0</v>
      </c>
      <c r="AH8" s="4">
        <v>350.0</v>
      </c>
      <c r="AI8" s="4">
        <v>289.26</v>
      </c>
      <c r="AJ8" s="4">
        <v>0.0</v>
      </c>
      <c r="AK8" s="4">
        <v>60.74</v>
      </c>
      <c r="AL8" s="3" t="s">
        <v>123</v>
      </c>
      <c r="AM8" s="3" t="s">
        <v>124</v>
      </c>
      <c r="AN8" s="2" t="s">
        <v>125</v>
      </c>
    </row>
    <row r="9">
      <c r="A9" s="5" t="s">
        <v>67</v>
      </c>
      <c r="B9" s="5" t="s">
        <v>68</v>
      </c>
      <c r="C9" s="6" t="s">
        <v>42</v>
      </c>
      <c r="D9" s="6" t="s">
        <v>124</v>
      </c>
      <c r="E9" s="6"/>
      <c r="F9" s="7">
        <f t="shared" si="1"/>
        <v>610</v>
      </c>
      <c r="G9" s="6" t="s">
        <v>126</v>
      </c>
      <c r="H9" s="7">
        <v>610.0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127</v>
      </c>
      <c r="Y9" s="6" t="s">
        <v>128</v>
      </c>
      <c r="Z9" s="6" t="s">
        <v>129</v>
      </c>
      <c r="AA9" s="6" t="s">
        <v>130</v>
      </c>
      <c r="AB9" s="6" t="s">
        <v>131</v>
      </c>
      <c r="AC9" s="6" t="s">
        <v>124</v>
      </c>
      <c r="AD9" s="6" t="s">
        <v>124</v>
      </c>
      <c r="AE9" s="6" t="s">
        <v>132</v>
      </c>
      <c r="AF9" s="6" t="s">
        <v>77</v>
      </c>
      <c r="AG9" s="7">
        <v>1.0</v>
      </c>
      <c r="AH9" s="7">
        <v>610.0</v>
      </c>
      <c r="AI9" s="7">
        <v>604.13</v>
      </c>
      <c r="AJ9" s="7">
        <v>0.0</v>
      </c>
      <c r="AK9" s="7">
        <v>105.87</v>
      </c>
      <c r="AL9" s="6" t="s">
        <v>133</v>
      </c>
      <c r="AM9" s="6" t="s">
        <v>93</v>
      </c>
      <c r="AN9" s="5" t="s">
        <v>134</v>
      </c>
    </row>
    <row r="10">
      <c r="A10" s="2" t="s">
        <v>135</v>
      </c>
      <c r="B10" s="2" t="s">
        <v>41</v>
      </c>
      <c r="C10" s="3" t="s">
        <v>42</v>
      </c>
      <c r="D10" s="3" t="s">
        <v>136</v>
      </c>
      <c r="E10" s="3" t="s">
        <v>137</v>
      </c>
      <c r="F10" s="4">
        <f t="shared" si="1"/>
        <v>3580</v>
      </c>
      <c r="G10" s="3" t="s">
        <v>138</v>
      </c>
      <c r="H10" s="4">
        <v>3580.0</v>
      </c>
      <c r="I10" s="4">
        <v>4200.0</v>
      </c>
      <c r="J10" s="4">
        <v>320.0</v>
      </c>
      <c r="K10" s="4">
        <v>-580.0</v>
      </c>
      <c r="L10" s="4">
        <v>-360.0</v>
      </c>
      <c r="M10" s="4">
        <v>179.0</v>
      </c>
      <c r="N10" s="3" t="s">
        <v>139</v>
      </c>
      <c r="O10" s="3" t="s">
        <v>140</v>
      </c>
      <c r="P10" s="4">
        <v>7.3</v>
      </c>
      <c r="Q10" s="3">
        <v>18.0</v>
      </c>
      <c r="R10" s="3" t="s">
        <v>141</v>
      </c>
      <c r="S10" s="3" t="s">
        <v>142</v>
      </c>
      <c r="T10" s="3" t="s">
        <v>137</v>
      </c>
      <c r="U10" s="3" t="s">
        <v>143</v>
      </c>
      <c r="V10" s="3" t="s">
        <v>144</v>
      </c>
      <c r="W10" s="4">
        <v>4.91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" t="s">
        <v>145</v>
      </c>
    </row>
    <row r="11">
      <c r="A11" s="2" t="s">
        <v>40</v>
      </c>
      <c r="B11" s="2" t="s">
        <v>41</v>
      </c>
      <c r="C11" s="3" t="s">
        <v>42</v>
      </c>
      <c r="D11" s="3" t="s">
        <v>146</v>
      </c>
      <c r="E11" s="3" t="s">
        <v>147</v>
      </c>
      <c r="F11" s="4">
        <f t="shared" si="1"/>
        <v>3120</v>
      </c>
      <c r="G11" s="3" t="s">
        <v>148</v>
      </c>
      <c r="H11" s="4">
        <v>3120.0</v>
      </c>
      <c r="I11" s="4">
        <v>3880.0</v>
      </c>
      <c r="J11" s="4">
        <v>300.0</v>
      </c>
      <c r="K11" s="4">
        <v>-650.0</v>
      </c>
      <c r="L11" s="4">
        <v>-410.0</v>
      </c>
      <c r="M11" s="4">
        <v>312.0</v>
      </c>
      <c r="N11" s="3" t="s">
        <v>108</v>
      </c>
      <c r="O11" s="3" t="s">
        <v>149</v>
      </c>
      <c r="P11" s="4">
        <v>4.8</v>
      </c>
      <c r="Q11" s="3">
        <v>11.0</v>
      </c>
      <c r="R11" s="3" t="s">
        <v>150</v>
      </c>
      <c r="S11" s="3" t="s">
        <v>151</v>
      </c>
      <c r="T11" s="3" t="s">
        <v>147</v>
      </c>
      <c r="U11" s="3" t="s">
        <v>152</v>
      </c>
      <c r="V11" s="3" t="s">
        <v>153</v>
      </c>
      <c r="W11" s="4">
        <v>4.88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2" t="s">
        <v>154</v>
      </c>
    </row>
    <row r="12">
      <c r="A12" s="2" t="s">
        <v>40</v>
      </c>
      <c r="B12" s="2" t="s">
        <v>41</v>
      </c>
      <c r="C12" s="3" t="s">
        <v>42</v>
      </c>
      <c r="D12" s="3" t="s">
        <v>155</v>
      </c>
      <c r="E12" s="3" t="s">
        <v>156</v>
      </c>
      <c r="F12" s="4">
        <f t="shared" si="1"/>
        <v>4150</v>
      </c>
      <c r="G12" s="3" t="s">
        <v>157</v>
      </c>
      <c r="H12" s="4">
        <v>4150.0</v>
      </c>
      <c r="I12" s="4">
        <v>5020.0</v>
      </c>
      <c r="J12" s="4">
        <v>340.0</v>
      </c>
      <c r="K12" s="4">
        <v>-800.0</v>
      </c>
      <c r="L12" s="4">
        <v>-410.0</v>
      </c>
      <c r="M12" s="4">
        <v>415.0</v>
      </c>
      <c r="N12" s="3" t="s">
        <v>158</v>
      </c>
      <c r="O12" s="3" t="s">
        <v>149</v>
      </c>
      <c r="P12" s="4">
        <v>6.1</v>
      </c>
      <c r="Q12" s="3">
        <v>15.0</v>
      </c>
      <c r="R12" s="3" t="s">
        <v>159</v>
      </c>
      <c r="S12" s="3" t="s">
        <v>160</v>
      </c>
      <c r="T12" s="3" t="s">
        <v>161</v>
      </c>
      <c r="U12" s="3" t="s">
        <v>162</v>
      </c>
      <c r="V12" s="3" t="s">
        <v>163</v>
      </c>
      <c r="W12" s="4">
        <v>4.85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2" t="s">
        <v>164</v>
      </c>
    </row>
    <row r="13">
      <c r="A13" s="2" t="s">
        <v>40</v>
      </c>
      <c r="B13" s="2" t="s">
        <v>41</v>
      </c>
      <c r="C13" s="3" t="s">
        <v>42</v>
      </c>
      <c r="D13" s="3" t="s">
        <v>165</v>
      </c>
      <c r="E13" s="3" t="s">
        <v>166</v>
      </c>
      <c r="F13" s="4">
        <f t="shared" si="1"/>
        <v>2820</v>
      </c>
      <c r="G13" s="3" t="s">
        <v>167</v>
      </c>
      <c r="H13" s="4">
        <v>2820.0</v>
      </c>
      <c r="I13" s="4">
        <v>3881.0</v>
      </c>
      <c r="J13" s="4">
        <v>326.0</v>
      </c>
      <c r="K13" s="4">
        <v>-940.0</v>
      </c>
      <c r="L13" s="4">
        <v>-447.0</v>
      </c>
      <c r="M13" s="4">
        <v>282.0</v>
      </c>
      <c r="N13" s="3" t="s">
        <v>108</v>
      </c>
      <c r="O13" s="3" t="s">
        <v>168</v>
      </c>
      <c r="P13" s="4">
        <v>3.6</v>
      </c>
      <c r="Q13" s="3">
        <v>8.0</v>
      </c>
      <c r="R13" s="3" t="s">
        <v>169</v>
      </c>
      <c r="S13" s="3" t="s">
        <v>170</v>
      </c>
      <c r="T13" s="3" t="s">
        <v>171</v>
      </c>
      <c r="U13" s="3" t="s">
        <v>172</v>
      </c>
      <c r="V13" s="3" t="s">
        <v>173</v>
      </c>
      <c r="W13" s="4">
        <v>4.9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" t="s">
        <v>174</v>
      </c>
    </row>
    <row r="14">
      <c r="A14" s="2" t="s">
        <v>175</v>
      </c>
      <c r="B14" s="2" t="s">
        <v>176</v>
      </c>
      <c r="C14" s="3" t="s">
        <v>42</v>
      </c>
      <c r="D14" s="3" t="s">
        <v>177</v>
      </c>
      <c r="E14" s="3"/>
      <c r="F14" s="4">
        <f t="shared" si="1"/>
        <v>2299.5</v>
      </c>
      <c r="G14" s="3" t="s">
        <v>178</v>
      </c>
      <c r="H14" s="4">
        <v>2299.5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179</v>
      </c>
      <c r="Y14" s="3" t="s">
        <v>180</v>
      </c>
      <c r="Z14" s="3" t="s">
        <v>181</v>
      </c>
      <c r="AA14" s="3" t="s">
        <v>182</v>
      </c>
      <c r="AB14" s="3" t="s">
        <v>183</v>
      </c>
      <c r="AC14" s="3" t="s">
        <v>184</v>
      </c>
      <c r="AD14" s="3" t="s">
        <v>177</v>
      </c>
      <c r="AE14" s="3" t="s">
        <v>132</v>
      </c>
      <c r="AF14" s="3" t="s">
        <v>185</v>
      </c>
      <c r="AG14" s="3">
        <v>210.0</v>
      </c>
      <c r="AH14" s="4">
        <v>10.95</v>
      </c>
      <c r="AI14" s="4">
        <v>1900.0</v>
      </c>
      <c r="AJ14" s="4">
        <v>0.0</v>
      </c>
      <c r="AK14" s="4">
        <v>399.5</v>
      </c>
      <c r="AL14" s="3" t="s">
        <v>186</v>
      </c>
      <c r="AM14" s="3" t="s">
        <v>187</v>
      </c>
      <c r="AN14" s="2" t="s">
        <v>188</v>
      </c>
    </row>
    <row r="15">
      <c r="A15" s="2" t="s">
        <v>67</v>
      </c>
      <c r="B15" s="2" t="s">
        <v>68</v>
      </c>
      <c r="C15" s="3" t="s">
        <v>42</v>
      </c>
      <c r="D15" s="3" t="s">
        <v>189</v>
      </c>
      <c r="E15" s="3"/>
      <c r="F15" s="4">
        <f t="shared" si="1"/>
        <v>290</v>
      </c>
      <c r="G15" s="3" t="s">
        <v>190</v>
      </c>
      <c r="H15" s="4">
        <v>290.0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191</v>
      </c>
      <c r="Y15" s="3" t="s">
        <v>192</v>
      </c>
      <c r="Z15" s="3" t="s">
        <v>193</v>
      </c>
      <c r="AA15" s="3" t="s">
        <v>194</v>
      </c>
      <c r="AB15" s="3" t="s">
        <v>195</v>
      </c>
      <c r="AC15" s="3" t="s">
        <v>189</v>
      </c>
      <c r="AD15" s="3" t="s">
        <v>189</v>
      </c>
      <c r="AE15" s="3" t="s">
        <v>196</v>
      </c>
      <c r="AF15" s="3" t="s">
        <v>77</v>
      </c>
      <c r="AG15" s="4">
        <v>1.0</v>
      </c>
      <c r="AH15" s="4">
        <v>290.0</v>
      </c>
      <c r="AI15" s="4">
        <v>239.67</v>
      </c>
      <c r="AJ15" s="4">
        <v>0.0</v>
      </c>
      <c r="AK15" s="4">
        <v>50.33</v>
      </c>
      <c r="AL15" s="3" t="s">
        <v>197</v>
      </c>
      <c r="AM15" s="3" t="s">
        <v>177</v>
      </c>
      <c r="AN15" s="2" t="s">
        <v>198</v>
      </c>
    </row>
    <row r="16">
      <c r="A16" s="2" t="s">
        <v>40</v>
      </c>
      <c r="B16" s="2" t="s">
        <v>41</v>
      </c>
      <c r="C16" s="3" t="s">
        <v>42</v>
      </c>
      <c r="D16" s="3" t="s">
        <v>199</v>
      </c>
      <c r="E16" s="3" t="s">
        <v>200</v>
      </c>
      <c r="F16" s="4">
        <f t="shared" si="1"/>
        <v>1980</v>
      </c>
      <c r="G16" s="3" t="s">
        <v>201</v>
      </c>
      <c r="H16" s="4">
        <v>1980.0</v>
      </c>
      <c r="I16" s="4">
        <v>2600.0</v>
      </c>
      <c r="J16" s="4">
        <v>300.0</v>
      </c>
      <c r="K16" s="4">
        <v>-620.0</v>
      </c>
      <c r="L16" s="4">
        <v>-300.0</v>
      </c>
      <c r="M16" s="4">
        <v>198.0</v>
      </c>
      <c r="N16" s="3" t="s">
        <v>108</v>
      </c>
      <c r="O16" s="3" t="s">
        <v>85</v>
      </c>
      <c r="P16" s="4">
        <v>2.4</v>
      </c>
      <c r="Q16" s="3">
        <v>6.0</v>
      </c>
      <c r="R16" s="3" t="s">
        <v>202</v>
      </c>
      <c r="S16" s="3" t="s">
        <v>203</v>
      </c>
      <c r="T16" s="3" t="s">
        <v>200</v>
      </c>
      <c r="U16" s="3" t="s">
        <v>204</v>
      </c>
      <c r="V16" s="3" t="s">
        <v>205</v>
      </c>
      <c r="W16" s="4">
        <v>4.98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2" t="s">
        <v>206</v>
      </c>
    </row>
    <row r="17">
      <c r="A17" s="2" t="s">
        <v>67</v>
      </c>
      <c r="B17" s="2" t="s">
        <v>68</v>
      </c>
      <c r="C17" s="3" t="s">
        <v>42</v>
      </c>
      <c r="D17" s="3" t="s">
        <v>207</v>
      </c>
      <c r="E17" s="3"/>
      <c r="F17" s="4">
        <f t="shared" si="1"/>
        <v>480</v>
      </c>
      <c r="G17" s="3" t="s">
        <v>126</v>
      </c>
      <c r="H17" s="4">
        <v>480.0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127</v>
      </c>
      <c r="Y17" s="3" t="s">
        <v>128</v>
      </c>
      <c r="Z17" s="3" t="s">
        <v>129</v>
      </c>
      <c r="AA17" s="3" t="s">
        <v>130</v>
      </c>
      <c r="AB17" s="3" t="s">
        <v>208</v>
      </c>
      <c r="AC17" s="3" t="s">
        <v>207</v>
      </c>
      <c r="AD17" s="3" t="s">
        <v>207</v>
      </c>
      <c r="AE17" s="3" t="s">
        <v>209</v>
      </c>
      <c r="AF17" s="3" t="s">
        <v>210</v>
      </c>
      <c r="AG17" s="4">
        <v>1.0</v>
      </c>
      <c r="AH17" s="4">
        <v>480.0</v>
      </c>
      <c r="AI17" s="4">
        <v>396.69</v>
      </c>
      <c r="AJ17" s="4">
        <v>0.0</v>
      </c>
      <c r="AK17" s="4">
        <v>83.31</v>
      </c>
      <c r="AL17" s="3" t="s">
        <v>211</v>
      </c>
      <c r="AM17" s="3" t="s">
        <v>69</v>
      </c>
      <c r="AN17" s="2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